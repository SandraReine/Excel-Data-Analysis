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switch function/"/>
    </mc:Choice>
  </mc:AlternateContent>
  <xr:revisionPtr revIDLastSave="156" documentId="11_2779F9B2FCDC5B6E264834899AD3CC78A628D2C5" xr6:coauthVersionLast="47" xr6:coauthVersionMax="47" xr10:uidLastSave="{48E9F7EA-2CA5-4876-BCE7-3636DDD81380}"/>
  <bookViews>
    <workbookView xWindow="-120" yWindow="-120" windowWidth="29040" windowHeight="15720" activeTab="1" xr2:uid="{2ACB6078-E7FC-41CF-A5D9-B1E5E9B37327}"/>
  </bookViews>
  <sheets>
    <sheet name="Biggest Atlantic Hurricanes" sheetId="1" r:id="rId1"/>
    <sheet name="Sheet3" sheetId="4" r:id="rId2"/>
    <sheet name="Sheet1" sheetId="2" r:id="rId3"/>
    <sheet name="Sheet2" sheetId="3" r:id="rId4"/>
  </sheets>
  <calcPr calcId="191028"/>
  <pivotCaches>
    <pivotCache cacheId="61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 a="1"/>
  <c r="F6" i="4"/>
  <c r="F7" i="4" a="1"/>
  <c r="F7" i="4"/>
  <c r="F8" i="4" a="1"/>
  <c r="F8" i="4"/>
  <c r="F9" i="4" a="1"/>
  <c r="F9" i="4"/>
  <c r="F10" i="4" a="1"/>
  <c r="F10" i="4"/>
  <c r="F11" i="4" a="1"/>
  <c r="F11" i="4"/>
  <c r="F5" i="4" a="1"/>
  <c r="F5" i="4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F25" i="1" a="1"/>
  <c r="F25" i="1"/>
  <c r="F4" i="1" a="1"/>
  <c r="F4" i="1"/>
  <c r="E25" i="1" a="1"/>
  <c r="E25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4" i="1" a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<sst xmlns="http://schemas.openxmlformats.org/spreadsheetml/2006/main" count="108" uniqueCount="69">
  <si>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</si>
  <si>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</si>
  <si>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</si>
  <si>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</si>
  <si>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</si>
  <si>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</si>
  <si>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</si>
  <si>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</si>
  <si>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</si>
  <si>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</si>
  <si>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</si>
  <si>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</si>
  <si>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</si>
  <si>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</si>
  <si>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</si>
  <si>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</si>
  <si>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</si>
  <si>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</si>
  <si>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</si>
  <si>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</si>
  <si>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</si>
  <si>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</si>
  <si>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</si>
  <si>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</si>
  <si>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</si>
  <si>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</si>
  <si>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</si>
  <si>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</si>
  <si>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</si>
  <si>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</si>
  <si>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</si>
  <si>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</si>
  <si>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</si>
  <si>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</si>
  <si>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</si>
  <si>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</si>
  <si>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</si>
  <si>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</si>
  <si>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</si>
  <si>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</si>
  <si>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</si>
  <si>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</si>
  <si>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</si>
  <si>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</si>
  <si>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</si>
  <si>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</si>
  <si>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</si>
  <si>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</si>
  <si>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</si>
  <si>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</si>
  <si>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</si>
  <si>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</si>
  <si>
    <t>Sum of Sales Volume </t>
  </si>
  <si>
    <t>Product </t>
  </si>
  <si>
    <t>County </t>
  </si>
  <si>
    <t>Laptops </t>
  </si>
  <si>
    <t>Printers </t>
  </si>
  <si>
    <t>Smartphones </t>
  </si>
  <si>
    <t>Grand Total</t>
  </si>
  <si>
    <t>Switch</t>
  </si>
  <si>
    <t>Cornwall </t>
  </si>
  <si>
    <t>Durham </t>
  </si>
  <si>
    <t>Essex </t>
  </si>
  <si>
    <t>Greater Manchester </t>
  </si>
  <si>
    <t>Lancashire </t>
  </si>
  <si>
    <t>Yorkshire </t>
  </si>
  <si>
    <r>
      <t>County</t>
    </r>
    <r>
      <rPr>
        <sz val="12"/>
        <rFont val="Segoe UI"/>
        <charset val="1"/>
      </rPr>
      <t> </t>
    </r>
  </si>
  <si>
    <r>
      <t>Product</t>
    </r>
    <r>
      <rPr>
        <sz val="12"/>
        <rFont val="Segoe UI"/>
        <charset val="1"/>
      </rPr>
      <t> </t>
    </r>
  </si>
  <si>
    <r>
      <t>Sales Volume</t>
    </r>
    <r>
      <rPr>
        <sz val="12"/>
        <rFont val="Segoe UI"/>
        <charset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</si>
</sst>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sz val="12"/>
      <name val="Segoe UI"/>
      <charset val="1"/>
    </font>
    <font>
      <b/>
      <sz val="12"/>
      <name val="Segoe UI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19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  <xf numFmtId="0" fontId="5" fillId="0" borderId="2" xfId="0" applyFont="1" applyBorder="1" applyAlignment="1">
      <alignment wrapText="1" readingOrder="1"/>
    </xf>
    <xf numFmtId="0" fontId="5" fillId="0" borderId="3" xfId="0" applyFont="1" applyBorder="1" applyAlignment="1">
      <alignment wrapText="1" readingOrder="1"/>
    </xf>
    <xf numFmtId="0" fontId="5" fillId="0" borderId="4" xfId="0" applyFont="1" applyBorder="1" applyAlignment="1">
      <alignment wrapText="1" readingOrder="1"/>
    </xf>
    <xf numFmtId="0" fontId="4" fillId="0" borderId="5" xfId="0" applyFont="1" applyBorder="1" applyAlignment="1">
      <alignment wrapText="1" readingOrder="1"/>
    </xf>
    <xf numFmtId="0" fontId="4" fillId="0" borderId="6" xfId="0" applyFont="1" applyBorder="1" applyAlignment="1">
      <alignment wrapText="1" readingOrder="1"/>
    </xf>
    <xf numFmtId="0" fontId="4" fillId="0" borderId="7" xfId="0" applyFont="1" applyBorder="1" applyAlignment="1">
      <alignment wrapText="1" readingOrder="1"/>
    </xf>
    <xf numFmtId="0" fontId="4" fillId="0" borderId="8" xfId="0" applyFont="1" applyBorder="1" applyAlignment="1">
      <alignment wrapText="1" readingOrder="1"/>
    </xf>
    <xf numFmtId="0" fontId="4" fillId="0" borderId="9" xfId="0" applyFont="1" applyBorder="1" applyAlignment="1">
      <alignment wrapText="1" readingOrder="1"/>
    </xf>
    <xf numFmtId="0" fontId="4" fillId="0" borderId="10" xfId="0" applyFont="1" applyBorder="1" applyAlignment="1">
      <alignment wrapText="1" readingOrder="1"/>
    </xf>
    <xf numFmtId="0" fontId="0" fillId="0" borderId="0" xfId="0" pivotButton="1"/>
    <xf numFmtId="0" fontId="6" fillId="0" borderId="0" xfId="0" applyFont="1"/>
    <xf numFmtId="0" fontId="6" fillId="0" borderId="0" xfId="0" applyFont="1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625454398149" createdVersion="8" refreshedVersion="8" minRefreshableVersion="3" recordCount="12" xr:uid="{3299BAA5-D1A5-4AB3-945B-4B67E0C7371B}">
  <cacheSource type="worksheet">
    <worksheetSource ref="B5:D17" sheet="Sheet1"/>
  </cacheSource>
  <cacheFields count="3">
    <cacheField name="County " numFmtId="0">
      <sharedItems count="6">
        <s v="Yorkshire "/>
        <s v="Cornwall "/>
        <s v="Lancashire "/>
        <s v="Essex "/>
        <s v="Durham "/>
        <s v="Greater Manchester "/>
      </sharedItems>
    </cacheField>
    <cacheField name="Product " numFmtId="0">
      <sharedItems count="3">
        <s v="Laptops "/>
        <s v="Smartphones "/>
        <s v="Printers "/>
      </sharedItems>
    </cacheField>
    <cacheField name="Sales Volume " numFmtId="0">
      <sharedItems containsSemiMixedTypes="0" containsString="0" containsNumber="1" containsInteger="1" minValue="15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</r>
  <r>
    <x v="0"/>
    <x v="1"/>
    <n v="200"/>
  </r>
  <r>
    <x v="1"/>
    <x v="0"/>
    <n v="700"/>
  </r>
  <r>
    <x v="1"/>
    <x v="2"/>
    <n v="400"/>
  </r>
  <r>
    <x v="2"/>
    <x v="1"/>
    <n v="150"/>
  </r>
  <r>
    <x v="2"/>
    <x v="0"/>
    <n v="600"/>
  </r>
  <r>
    <x v="3"/>
    <x v="2"/>
    <n v="800"/>
  </r>
  <r>
    <x v="3"/>
    <x v="1"/>
    <n v="300"/>
  </r>
  <r>
    <x v="4"/>
    <x v="0"/>
    <n v="250"/>
  </r>
  <r>
    <x v="4"/>
    <x v="2"/>
    <n v="300"/>
  </r>
  <r>
    <x v="5"/>
    <x v="1"/>
    <n v="600"/>
  </r>
  <r>
    <x v="5"/>
    <x v="0"/>
    <n v="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A9EC5-1938-4D07-966E-695A99C394F4}" name="PivotTable4" cacheId="6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1" firstHeaderRow="1" firstDataRow="2" firstDataCol="1"/>
  <pivotFields count="3">
    <pivotField axis="axisRow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 Volume 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59BF0-9AED-4390-A355-562A93890557}" name="PivotTable1" cacheId="6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H7" firstHeaderRow="1" firstDataRow="2" firstDataCol="1"/>
  <pivotFields count="3">
    <pivotField axis="axisCol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dataField="1"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 Volume 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opLeftCell="C1" workbookViewId="0">
      <selection activeCell="H15" sqref="H15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2.57031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9">
      <c r="A4" t="s">
        <v>6</v>
      </c>
      <c r="B4" t="s">
        <v>7</v>
      </c>
      <c r="C4" s="3">
        <v>12</v>
      </c>
      <c r="D4">
        <v>3</v>
      </c>
      <c r="E4" s="6" cm="1">
        <f t="array" ref="E4">_xlfn.SWITCH(D4,1,95,2,110,3,129,4,156,5,"157 and over","unknow category")</f>
        <v>129</v>
      </c>
      <c r="F4" cm="1">
        <f t="array" ref="F4">_xlfn.IFS(D4=1, 95, D4=2, 110, D4=3, 129, D4=4, 156, D4=5, "157 and over")</f>
        <v>129</v>
      </c>
      <c r="H4" t="s">
        <v>8</v>
      </c>
    </row>
    <row r="5" spans="1:9">
      <c r="A5" t="s">
        <v>9</v>
      </c>
      <c r="B5" t="s">
        <v>10</v>
      </c>
      <c r="C5" s="3">
        <v>1</v>
      </c>
      <c r="D5">
        <v>3</v>
      </c>
      <c r="E5" s="6" cm="1">
        <f t="array" ref="E5">_xlfn.SWITCH(D5,1,95,2,110,3,129,4,156,5,"157 and over","unknow category")</f>
        <v>129</v>
      </c>
      <c r="F5" cm="1">
        <f t="array" ref="F5">_xlfn.IFS(D5=1, 95, D5=2, 110, D5=3, 129, D5=4, 156, D5=5, "157 and over")</f>
        <v>129</v>
      </c>
      <c r="H5" s="1" t="s">
        <v>11</v>
      </c>
      <c r="I5" s="1" t="s">
        <v>12</v>
      </c>
    </row>
    <row r="6" spans="1:9">
      <c r="A6" t="s">
        <v>13</v>
      </c>
      <c r="B6" t="s">
        <v>14</v>
      </c>
      <c r="C6" s="3">
        <v>5</v>
      </c>
      <c r="D6">
        <v>4</v>
      </c>
      <c r="E6" s="6" cm="1">
        <f t="array" ref="E6">_xlfn.SWITCH(D6,1,95,2,110,3,129,4,156,5,"157 and over","unknow category")</f>
        <v>156</v>
      </c>
      <c r="F6" cm="1">
        <f t="array" ref="F6">_xlfn.IFS(D6=1, 95, D6=2, 110, D6=3, 129, D6=4, 156, D6=5, "157 and over")</f>
        <v>156</v>
      </c>
      <c r="H6">
        <v>5</v>
      </c>
      <c r="I6" t="s">
        <v>15</v>
      </c>
    </row>
    <row r="7" spans="1:9">
      <c r="A7" t="s">
        <v>16</v>
      </c>
      <c r="B7" t="s">
        <v>17</v>
      </c>
      <c r="C7" s="3">
        <v>20</v>
      </c>
      <c r="D7">
        <v>4</v>
      </c>
      <c r="E7" s="6" cm="1">
        <f t="array" ref="E7">_xlfn.SWITCH(D7,1,95,2,110,3,129,4,156,5,"157 and over","unknow category")</f>
        <v>156</v>
      </c>
      <c r="F7" cm="1">
        <f t="array" ref="F7">_xlfn.IFS(D7=1, 95, D7=2, 110, D7=3, 129, D7=4, 156, D7=5, "157 and over")</f>
        <v>156</v>
      </c>
      <c r="H7">
        <v>4</v>
      </c>
      <c r="I7" s="4">
        <v>156</v>
      </c>
    </row>
    <row r="8" spans="1:9">
      <c r="A8" t="s">
        <v>18</v>
      </c>
      <c r="B8" t="s">
        <v>19</v>
      </c>
      <c r="C8" s="3">
        <v>20</v>
      </c>
      <c r="D8">
        <v>4</v>
      </c>
      <c r="E8" s="6" cm="1">
        <f t="array" ref="E8">_xlfn.SWITCH(D8,1,95,2,110,3,129,4,156,5,"157 and over","unknow category")</f>
        <v>156</v>
      </c>
      <c r="F8" cm="1">
        <f t="array" ref="F8">_xlfn.IFS(D8=1, 95, D8=2, 110, D8=3, 129, D8=4, 156, D8=5, "157 and over")</f>
        <v>156</v>
      </c>
      <c r="H8">
        <v>3</v>
      </c>
      <c r="I8" s="4">
        <v>129</v>
      </c>
    </row>
    <row r="9" spans="1:9">
      <c r="A9" t="s">
        <v>20</v>
      </c>
      <c r="B9" t="s">
        <v>21</v>
      </c>
      <c r="C9" s="3">
        <v>50</v>
      </c>
      <c r="D9">
        <v>3</v>
      </c>
      <c r="E9" s="6" cm="1">
        <f t="array" ref="E9">_xlfn.SWITCH(D9,1,95,2,110,3,129,4,156,5,"157 and over","unknow category")</f>
        <v>129</v>
      </c>
      <c r="F9" cm="1">
        <f t="array" ref="F9">_xlfn.IFS(D9=1, 95, D9=2, 110, D9=3, 129, D9=4, 156, D9=5, "157 and over")</f>
        <v>129</v>
      </c>
      <c r="H9">
        <v>2</v>
      </c>
      <c r="I9" s="4">
        <v>110</v>
      </c>
    </row>
    <row r="10" spans="1:9">
      <c r="A10" t="s">
        <v>22</v>
      </c>
      <c r="B10" t="s">
        <v>23</v>
      </c>
      <c r="C10" s="3">
        <v>100</v>
      </c>
      <c r="D10">
        <v>5</v>
      </c>
      <c r="E10" s="6" t="str" cm="1">
        <f t="array" ref="E10">_xlfn.SWITCH(D10,1,95,2,110,3,129,4,156,5,"157 and over","unknow category")</f>
        <v>157 and over</v>
      </c>
      <c r="F10" t="str" cm="1">
        <f t="array" ref="F10">_xlfn.IFS(D10=1, 95, D10=2, 110, D10=3, 129, D10=4, 156, D10=5, "157 and over")</f>
        <v>157 and over</v>
      </c>
      <c r="H10">
        <v>1</v>
      </c>
      <c r="I10" s="4">
        <v>95</v>
      </c>
    </row>
    <row r="11" spans="1:9">
      <c r="A11" t="s">
        <v>24</v>
      </c>
      <c r="B11" t="s">
        <v>25</v>
      </c>
      <c r="C11" s="3">
        <v>50</v>
      </c>
      <c r="D11">
        <v>4</v>
      </c>
      <c r="E11" s="6" cm="1">
        <f t="array" ref="E11">_xlfn.SWITCH(D11,1,95,2,110,3,129,4,156,5,"157 and over","unknow category")</f>
        <v>156</v>
      </c>
      <c r="F11" cm="1">
        <f t="array" ref="F11">_xlfn.IFS(D11=1, 95, D11=2, 110, D11=3, 129, D11=4, 156, D11=5, "157 and over")</f>
        <v>156</v>
      </c>
    </row>
    <row r="12" spans="1:9">
      <c r="A12" t="s">
        <v>26</v>
      </c>
      <c r="B12" t="s">
        <v>27</v>
      </c>
      <c r="C12" s="3">
        <v>7.5</v>
      </c>
      <c r="D12">
        <v>4</v>
      </c>
      <c r="E12" s="6" cm="1">
        <f t="array" ref="E12">_xlfn.SWITCH(D12,1,95,2,110,3,129,4,156,5,"157 and over","unknow category")</f>
        <v>156</v>
      </c>
      <c r="F12" cm="1">
        <f t="array" ref="F12">_xlfn.IFS(D12=1, 95, D12=2, 110, D12=3, 129, D12=4, 156, D12=5, "157 and over")</f>
        <v>156</v>
      </c>
    </row>
    <row r="13" spans="1:9">
      <c r="A13" t="s">
        <v>28</v>
      </c>
      <c r="B13" t="s">
        <v>29</v>
      </c>
      <c r="C13" s="3">
        <v>40</v>
      </c>
      <c r="D13">
        <v>5</v>
      </c>
      <c r="E13" s="6" t="str" cm="1">
        <f t="array" ref="E13">_xlfn.SWITCH(D13,1,95,2,110,3,129,4,156,5,"157 and over","unknow category")</f>
        <v>157 and over</v>
      </c>
      <c r="F13" t="str" cm="1">
        <f t="array" ref="F13">_xlfn.IFS(D13=1, 95, D13=2, 110, D13=3, 129, D13=4, 156, D13=5, "157 and over")</f>
        <v>157 and over</v>
      </c>
    </row>
    <row r="14" spans="1:9">
      <c r="A14" t="s">
        <v>30</v>
      </c>
      <c r="B14" t="s">
        <v>31</v>
      </c>
      <c r="C14" s="3">
        <v>2.6</v>
      </c>
      <c r="D14">
        <v>2</v>
      </c>
      <c r="E14" s="6" cm="1">
        <f t="array" ref="E14">_xlfn.SWITCH(D14,1,95,2,110,3,129,4,156,5,"157 and over","unknow category")</f>
        <v>110</v>
      </c>
      <c r="F14" cm="1">
        <f t="array" ref="F14">_xlfn.IFS(D14=1, 95, D14=2, 110, D14=3, 129, D14=4, 156, D14=5, "157 and over")</f>
        <v>110</v>
      </c>
    </row>
    <row r="15" spans="1:9">
      <c r="A15" t="s">
        <v>32</v>
      </c>
      <c r="B15" t="s">
        <v>33</v>
      </c>
      <c r="C15" s="3">
        <v>16</v>
      </c>
      <c r="D15">
        <v>1</v>
      </c>
      <c r="E15" s="6" cm="1">
        <f t="array" ref="E15">_xlfn.SWITCH(D15,1,95,2,110,3,129,4,156,5,"157 and over","unknow category")</f>
        <v>95</v>
      </c>
      <c r="F15" cm="1">
        <f t="array" ref="F15">_xlfn.IFS(D15=1, 95, D15=2, 110, D15=3, 129, D15=4, 156, D15=5, "157 and over")</f>
        <v>95</v>
      </c>
    </row>
    <row r="16" spans="1:9">
      <c r="A16" t="s">
        <v>34</v>
      </c>
      <c r="B16" t="s">
        <v>35</v>
      </c>
      <c r="C16" s="3">
        <v>529</v>
      </c>
      <c r="D16">
        <v>4</v>
      </c>
      <c r="E16" s="6" cm="1">
        <f t="array" ref="E16">_xlfn.SWITCH(D16,1,95,2,110,3,129,4,156,5,"157 and over","unknow category")</f>
        <v>156</v>
      </c>
      <c r="F16" cm="1">
        <f t="array" ref="F16">_xlfn.IFS(D16=1, 95, D16=2, 110, D16=3, 129, D16=4, 156, D16=5, "157 and over")</f>
        <v>156</v>
      </c>
    </row>
    <row r="17" spans="1:6">
      <c r="A17" t="s">
        <v>36</v>
      </c>
      <c r="B17" t="s">
        <v>37</v>
      </c>
      <c r="C17" s="3">
        <v>1800</v>
      </c>
      <c r="D17">
        <v>2</v>
      </c>
      <c r="E17" s="6" cm="1">
        <f t="array" ref="E17">_xlfn.SWITCH(D17,1,95,2,110,3,129,4,156,5,"157 and over","unknow category")</f>
        <v>110</v>
      </c>
      <c r="F17" cm="1">
        <f t="array" ref="F17">_xlfn.IFS(D17=1, 95, D17=2, 110, D17=3, 129, D17=4, 156, D17=5, "157 and over")</f>
        <v>110</v>
      </c>
    </row>
    <row r="18" spans="1:6">
      <c r="A18" t="s">
        <v>38</v>
      </c>
      <c r="B18" t="s">
        <v>39</v>
      </c>
      <c r="C18" s="3">
        <v>1540</v>
      </c>
      <c r="D18">
        <v>5</v>
      </c>
      <c r="E18" s="6" t="str" cm="1">
        <f t="array" ref="E18">_xlfn.SWITCH(D18,1,95,2,110,3,129,4,156,5,"157 and over","unknow category")</f>
        <v>157 and over</v>
      </c>
      <c r="F18" t="str" cm="1">
        <f t="array" ref="F18">_xlfn.IFS(D18=1, 95, D18=2, 110, D18=3, 129, D18=4, 156, D18=5, "157 and over")</f>
        <v>157 and over</v>
      </c>
    </row>
    <row r="19" spans="1:6">
      <c r="A19" t="s">
        <v>40</v>
      </c>
      <c r="B19" t="s">
        <v>41</v>
      </c>
      <c r="C19" s="3">
        <v>594</v>
      </c>
      <c r="D19">
        <v>1</v>
      </c>
      <c r="E19" s="6" cm="1">
        <f t="array" ref="E19">_xlfn.SWITCH(D19,1,95,2,110,3,129,4,156,5,"157 and over","unknow category")</f>
        <v>95</v>
      </c>
      <c r="F19" cm="1">
        <f t="array" ref="F19">_xlfn.IFS(D19=1, 95, D19=2, 110, D19=3, 129, D19=4, 156, D19=5, "157 and over")</f>
        <v>95</v>
      </c>
    </row>
    <row r="20" spans="1:6">
      <c r="A20" t="s">
        <v>42</v>
      </c>
      <c r="B20" t="s">
        <v>43</v>
      </c>
      <c r="C20" s="3">
        <v>6200</v>
      </c>
      <c r="D20">
        <v>5</v>
      </c>
      <c r="E20" s="6" t="str" cm="1">
        <f t="array" ref="E20">_xlfn.SWITCH(D20,1,95,2,110,3,129,4,156,5,"157 and over","unknow category")</f>
        <v>157 and over</v>
      </c>
      <c r="F20" t="str" cm="1">
        <f t="array" ref="F20">_xlfn.IFS(D20=1, 95, D20=2, 110, D20=3, 129, D20=4, 156, D20=5, "157 and over")</f>
        <v>157 and over</v>
      </c>
    </row>
    <row r="21" spans="1:6">
      <c r="A21" t="s">
        <v>44</v>
      </c>
      <c r="B21" t="s">
        <v>45</v>
      </c>
      <c r="C21" s="3">
        <v>7660</v>
      </c>
      <c r="D21">
        <v>3</v>
      </c>
      <c r="E21" s="6" cm="1">
        <f t="array" ref="E21">_xlfn.SWITCH(D21,1,95,2,110,3,129,4,156,5,"157 and over","unknow category")</f>
        <v>129</v>
      </c>
      <c r="F21" cm="1">
        <f t="array" ref="F21">_xlfn.IFS(D21=1, 95, D21=2, 110, D21=3, 129, D21=4, 156, D21=5, "157 and over")</f>
        <v>129</v>
      </c>
    </row>
    <row r="22" spans="1:6">
      <c r="A22" t="s">
        <v>46</v>
      </c>
      <c r="B22" t="s">
        <v>47</v>
      </c>
      <c r="C22" s="3">
        <v>108000</v>
      </c>
      <c r="D22">
        <v>5</v>
      </c>
      <c r="E22" s="6" t="str" cm="1">
        <f t="array" ref="E22">_xlfn.SWITCH(D22,1,95,2,110,3,129,4,156,5,"157 and over","unknow category")</f>
        <v>157 and over</v>
      </c>
      <c r="F22" t="str" cm="1">
        <f t="array" ref="F22">_xlfn.IFS(D22=1, 95, D22=2, 110, D22=3, 129, D22=4, 156, D22=5, "157 and over")</f>
        <v>157 and over</v>
      </c>
    </row>
    <row r="23" spans="1:6">
      <c r="A23" t="s">
        <v>48</v>
      </c>
      <c r="B23" t="s">
        <v>49</v>
      </c>
      <c r="C23" s="3">
        <v>3960</v>
      </c>
      <c r="D23">
        <v>1</v>
      </c>
      <c r="E23" s="6" cm="1">
        <f t="array" ref="E23">_xlfn.SWITCH(D23,1,95,2,110,3,129,4,156,5,"157 and over","unknow category")</f>
        <v>95</v>
      </c>
      <c r="F23" cm="1">
        <f t="array" ref="F23">_xlfn.IFS(D23=1, 95, D23=2, 110, D23=3, 129, D23=4, 156, D23=5, "157 and over")</f>
        <v>95</v>
      </c>
    </row>
    <row r="24" spans="1:6">
      <c r="A24" t="s">
        <v>50</v>
      </c>
      <c r="B24" t="s">
        <v>51</v>
      </c>
      <c r="C24" s="3">
        <v>300000</v>
      </c>
      <c r="D24">
        <v>5</v>
      </c>
      <c r="E24" s="6" t="str" cm="1">
        <f t="array" ref="E24">_xlfn.SWITCH(D24,1,95,2,110,3,129,4,156,5,"157 and over","unknow category")</f>
        <v>157 and over</v>
      </c>
      <c r="F24" t="str" cm="1">
        <f t="array" ref="F24">_xlfn.IFS(D24=1, 95, D24=2, 110, D24=3, 129, D24=4, 156, D24=5, "157 and over")</f>
        <v>157 and over</v>
      </c>
    </row>
    <row r="25" spans="1:6">
      <c r="C25" s="3"/>
      <c r="D25">
        <v>10</v>
      </c>
      <c r="E25" s="6" t="str" cm="1">
        <f t="array" ref="E25">_xlfn.SWITCH(D25,1,95,2,110,3,129,4,156,5,"157 and over","unknow category")</f>
        <v>unknow category</v>
      </c>
      <c r="F25" t="e" cm="1">
        <f t="array" ref="F25">_xlfn.IFS(D25=1, 95, D25=2, 110, D25=3, 129, D25=4, 156, D25=5, "157 and over")</f>
        <v>#N/A</v>
      </c>
    </row>
    <row r="26" spans="1:6">
      <c r="C26" s="3"/>
    </row>
    <row r="27" spans="1:6">
      <c r="C27" s="3"/>
    </row>
    <row r="28" spans="1:6">
      <c r="C28" s="3"/>
    </row>
    <row r="29" spans="1:6">
      <c r="C29" s="3"/>
    </row>
    <row r="30" spans="1:6">
      <c r="C30" s="3"/>
    </row>
    <row r="31" spans="1:6">
      <c r="C31" s="3"/>
    </row>
    <row r="32" spans="1:6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1D4CC-000A-473E-856C-E14E1AB0C7E2}">
  <dimension ref="A3:F11"/>
  <sheetViews>
    <sheetView tabSelected="1" workbookViewId="0">
      <selection activeCell="F11" sqref="F11"/>
    </sheetView>
  </sheetViews>
  <sheetFormatPr defaultRowHeight="15"/>
  <cols>
    <col min="1" max="1" width="20.42578125" bestFit="1" customWidth="1"/>
    <col min="2" max="2" width="11.7109375" bestFit="1" customWidth="1"/>
    <col min="3" max="3" width="8.5703125" bestFit="1" customWidth="1"/>
    <col min="4" max="4" width="13.5703125" bestFit="1" customWidth="1"/>
    <col min="5" max="5" width="11.7109375" bestFit="1" customWidth="1"/>
  </cols>
  <sheetData>
    <row r="3" spans="1:6">
      <c r="A3" s="16" t="s">
        <v>52</v>
      </c>
      <c r="B3" s="16" t="s">
        <v>53</v>
      </c>
    </row>
    <row r="4" spans="1:6">
      <c r="A4" s="16" t="s">
        <v>54</v>
      </c>
      <c r="B4" t="s">
        <v>55</v>
      </c>
      <c r="C4" t="s">
        <v>56</v>
      </c>
      <c r="D4" t="s">
        <v>57</v>
      </c>
      <c r="E4" t="s">
        <v>58</v>
      </c>
      <c r="F4" s="17" t="s">
        <v>59</v>
      </c>
    </row>
    <row r="5" spans="1:6">
      <c r="A5" t="s">
        <v>60</v>
      </c>
      <c r="B5">
        <v>700</v>
      </c>
      <c r="C5">
        <v>400</v>
      </c>
      <c r="E5">
        <v>1100</v>
      </c>
      <c r="F5" s="6" t="str" cm="1">
        <f t="array" ref="F5">_xlfn.SWITCH(TRUE, C3 &gt; 600, "High", C3 &gt;= 300, "Medium", "Low")</f>
        <v>Low</v>
      </c>
    </row>
    <row r="6" spans="1:6">
      <c r="A6" t="s">
        <v>61</v>
      </c>
      <c r="B6">
        <v>250</v>
      </c>
      <c r="C6">
        <v>300</v>
      </c>
      <c r="E6">
        <v>550</v>
      </c>
      <c r="F6" s="6" t="str" cm="1">
        <f t="array" ref="F6">_xlfn.SWITCH(TRUE, C4 &gt; 600, "High", C4 &gt;= 300, "Medium", "Low")</f>
        <v>High</v>
      </c>
    </row>
    <row r="7" spans="1:6">
      <c r="A7" t="s">
        <v>62</v>
      </c>
      <c r="C7">
        <v>800</v>
      </c>
      <c r="D7">
        <v>300</v>
      </c>
      <c r="E7">
        <v>1100</v>
      </c>
      <c r="F7" s="6" t="str" cm="1">
        <f t="array" ref="F7">_xlfn.SWITCH(TRUE, C5 &gt; 600, "High", C5 &gt;= 300, "Medium", "Low")</f>
        <v>Medium</v>
      </c>
    </row>
    <row r="8" spans="1:6">
      <c r="A8" t="s">
        <v>63</v>
      </c>
      <c r="B8">
        <v>400</v>
      </c>
      <c r="D8">
        <v>600</v>
      </c>
      <c r="E8">
        <v>1000</v>
      </c>
      <c r="F8" s="6" t="str" cm="1">
        <f t="array" ref="F8">_xlfn.SWITCH(TRUE, C6 &gt; 600, "High", C6 &gt;= 300, "Medium", "Low")</f>
        <v>Medium</v>
      </c>
    </row>
    <row r="9" spans="1:6">
      <c r="A9" t="s">
        <v>64</v>
      </c>
      <c r="B9">
        <v>600</v>
      </c>
      <c r="D9">
        <v>150</v>
      </c>
      <c r="E9">
        <v>750</v>
      </c>
      <c r="F9" s="6" t="str" cm="1">
        <f t="array" ref="F9">_xlfn.SWITCH(TRUE, C7 &gt; 600, "High", C7 &gt;= 300, "Medium", "Low")</f>
        <v>High</v>
      </c>
    </row>
    <row r="10" spans="1:6">
      <c r="A10" t="s">
        <v>65</v>
      </c>
      <c r="B10">
        <v>500</v>
      </c>
      <c r="D10">
        <v>200</v>
      </c>
      <c r="E10">
        <v>700</v>
      </c>
      <c r="F10" s="6" t="str" cm="1">
        <f t="array" ref="F10">_xlfn.SWITCH(TRUE, C8 &gt; 600, "High", C8 &gt;= 300, "Medium", "Low")</f>
        <v>Low</v>
      </c>
    </row>
    <row r="11" spans="1:6">
      <c r="A11" t="s">
        <v>58</v>
      </c>
      <c r="B11">
        <v>2450</v>
      </c>
      <c r="C11">
        <v>1500</v>
      </c>
      <c r="D11">
        <v>1250</v>
      </c>
      <c r="E11">
        <v>5200</v>
      </c>
      <c r="F11" s="18" t="str" cm="1">
        <f t="array" ref="F11">_xlfn.SWITCH(TRUE, C9 &gt; 600, "High", C9 &gt;= 300, "Medium", "Low")</f>
        <v>Low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1F0D-A807-46D7-9279-EED91582D473}">
  <dimension ref="B5:D17"/>
  <sheetViews>
    <sheetView topLeftCell="A4" workbookViewId="0">
      <selection activeCell="B5" sqref="B5"/>
    </sheetView>
  </sheetViews>
  <sheetFormatPr defaultRowHeight="15"/>
  <cols>
    <col min="2" max="2" width="13.28515625" customWidth="1"/>
    <col min="3" max="3" width="16.140625" customWidth="1"/>
    <col min="4" max="4" width="16.42578125" customWidth="1"/>
  </cols>
  <sheetData>
    <row r="5" spans="2:4" ht="35.25">
      <c r="B5" s="7" t="s">
        <v>66</v>
      </c>
      <c r="C5" s="8" t="s">
        <v>67</v>
      </c>
      <c r="D5" s="9" t="s">
        <v>68</v>
      </c>
    </row>
    <row r="6" spans="2:4" ht="17.25">
      <c r="B6" s="10" t="s">
        <v>65</v>
      </c>
      <c r="C6" s="11" t="s">
        <v>55</v>
      </c>
      <c r="D6" s="12">
        <v>500</v>
      </c>
    </row>
    <row r="7" spans="2:4" ht="17.25">
      <c r="B7" s="10" t="s">
        <v>65</v>
      </c>
      <c r="C7" s="11" t="s">
        <v>57</v>
      </c>
      <c r="D7" s="12">
        <v>200</v>
      </c>
    </row>
    <row r="8" spans="2:4" ht="17.25">
      <c r="B8" s="10" t="s">
        <v>60</v>
      </c>
      <c r="C8" s="11" t="s">
        <v>55</v>
      </c>
      <c r="D8" s="12">
        <v>700</v>
      </c>
    </row>
    <row r="9" spans="2:4" ht="17.25">
      <c r="B9" s="10" t="s">
        <v>60</v>
      </c>
      <c r="C9" s="11" t="s">
        <v>56</v>
      </c>
      <c r="D9" s="12">
        <v>400</v>
      </c>
    </row>
    <row r="10" spans="2:4" ht="17.25">
      <c r="B10" s="10" t="s">
        <v>64</v>
      </c>
      <c r="C10" s="11" t="s">
        <v>57</v>
      </c>
      <c r="D10" s="12">
        <v>150</v>
      </c>
    </row>
    <row r="11" spans="2:4" ht="17.25">
      <c r="B11" s="10" t="s">
        <v>64</v>
      </c>
      <c r="C11" s="11" t="s">
        <v>55</v>
      </c>
      <c r="D11" s="12">
        <v>600</v>
      </c>
    </row>
    <row r="12" spans="2:4" ht="17.25">
      <c r="B12" s="10" t="s">
        <v>62</v>
      </c>
      <c r="C12" s="11" t="s">
        <v>56</v>
      </c>
      <c r="D12" s="12">
        <v>800</v>
      </c>
    </row>
    <row r="13" spans="2:4" ht="17.25">
      <c r="B13" s="10" t="s">
        <v>62</v>
      </c>
      <c r="C13" s="11" t="s">
        <v>57</v>
      </c>
      <c r="D13" s="12">
        <v>300</v>
      </c>
    </row>
    <row r="14" spans="2:4" ht="17.25">
      <c r="B14" s="10" t="s">
        <v>61</v>
      </c>
      <c r="C14" s="11" t="s">
        <v>55</v>
      </c>
      <c r="D14" s="12">
        <v>250</v>
      </c>
    </row>
    <row r="15" spans="2:4" ht="17.25">
      <c r="B15" s="10" t="s">
        <v>61</v>
      </c>
      <c r="C15" s="11" t="s">
        <v>56</v>
      </c>
      <c r="D15" s="12">
        <v>300</v>
      </c>
    </row>
    <row r="16" spans="2:4" ht="35.25">
      <c r="B16" s="10" t="s">
        <v>63</v>
      </c>
      <c r="C16" s="11" t="s">
        <v>57</v>
      </c>
      <c r="D16" s="12">
        <v>600</v>
      </c>
    </row>
    <row r="17" spans="2:4" ht="35.25">
      <c r="B17" s="13" t="s">
        <v>63</v>
      </c>
      <c r="C17" s="14" t="s">
        <v>55</v>
      </c>
      <c r="D17" s="15"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402C-4991-4037-A718-FEE7B9AB2AF7}">
  <dimension ref="A2:H7"/>
  <sheetViews>
    <sheetView workbookViewId="0">
      <selection activeCell="J9" sqref="J9"/>
    </sheetView>
  </sheetViews>
  <sheetFormatPr defaultRowHeight="15"/>
  <cols>
    <col min="1" max="1" width="20.42578125" bestFit="1" customWidth="1"/>
    <col min="2" max="2" width="11.140625" bestFit="1" customWidth="1"/>
    <col min="3" max="3" width="8.85546875" bestFit="1" customWidth="1"/>
    <col min="4" max="4" width="6.42578125" bestFit="1" customWidth="1"/>
    <col min="5" max="5" width="19.7109375" bestFit="1" customWidth="1"/>
    <col min="6" max="6" width="11" bestFit="1" customWidth="1"/>
    <col min="7" max="7" width="9.85546875" bestFit="1" customWidth="1"/>
    <col min="8" max="8" width="11.7109375" bestFit="1" customWidth="1"/>
  </cols>
  <sheetData>
    <row r="2" spans="1:8">
      <c r="A2" s="16" t="s">
        <v>52</v>
      </c>
      <c r="B2" s="16" t="s">
        <v>54</v>
      </c>
    </row>
    <row r="3" spans="1:8">
      <c r="A3" s="16" t="s">
        <v>53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58</v>
      </c>
    </row>
    <row r="4" spans="1:8">
      <c r="A4" t="s">
        <v>55</v>
      </c>
      <c r="B4">
        <v>700</v>
      </c>
      <c r="C4">
        <v>250</v>
      </c>
      <c r="E4">
        <v>400</v>
      </c>
      <c r="F4">
        <v>600</v>
      </c>
      <c r="G4">
        <v>500</v>
      </c>
      <c r="H4">
        <v>2450</v>
      </c>
    </row>
    <row r="5" spans="1:8">
      <c r="A5" t="s">
        <v>56</v>
      </c>
      <c r="B5">
        <v>400</v>
      </c>
      <c r="C5">
        <v>300</v>
      </c>
      <c r="D5">
        <v>800</v>
      </c>
      <c r="H5">
        <v>1500</v>
      </c>
    </row>
    <row r="6" spans="1:8">
      <c r="A6" t="s">
        <v>57</v>
      </c>
      <c r="D6">
        <v>300</v>
      </c>
      <c r="E6">
        <v>600</v>
      </c>
      <c r="F6">
        <v>150</v>
      </c>
      <c r="G6">
        <v>200</v>
      </c>
      <c r="H6">
        <v>1250</v>
      </c>
    </row>
    <row r="7" spans="1:8">
      <c r="A7" t="s">
        <v>58</v>
      </c>
      <c r="B7">
        <v>1100</v>
      </c>
      <c r="C7">
        <v>550</v>
      </c>
      <c r="D7">
        <v>1100</v>
      </c>
      <c r="E7">
        <v>1000</v>
      </c>
      <c r="F7">
        <v>750</v>
      </c>
      <c r="G7">
        <v>700</v>
      </c>
      <c r="H7">
        <v>5200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4E24B2-8FB1-41D6-A0B3-EA0C5EC943D2}"/>
</file>

<file path=customXml/itemProps2.xml><?xml version="1.0" encoding="utf-8"?>
<ds:datastoreItem xmlns:ds="http://schemas.openxmlformats.org/officeDocument/2006/customXml" ds:itemID="{FF1056E9-45E7-4EE1-B8ED-748AFD02223F}"/>
</file>

<file path=customXml/itemProps3.xml><?xml version="1.0" encoding="utf-8"?>
<ds:datastoreItem xmlns:ds="http://schemas.openxmlformats.org/officeDocument/2006/customXml" ds:itemID="{DCED2CD7-AB5E-404D-849A-F793ABBC6F67}"/>
</file>

<file path=customXml/itemProps4.xml><?xml version="1.0" encoding="utf-8"?>
<ds:datastoreItem xmlns:ds="http://schemas.openxmlformats.org/officeDocument/2006/customXml" ds:itemID="{00DA10D2-1FFF-490D-B4DA-8729470684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Sandra Reine</cp:lastModifiedBy>
  <cp:revision/>
  <dcterms:created xsi:type="dcterms:W3CDTF">2017-10-17T14:59:20Z</dcterms:created>
  <dcterms:modified xsi:type="dcterms:W3CDTF">2026-09-16T14:19:25Z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